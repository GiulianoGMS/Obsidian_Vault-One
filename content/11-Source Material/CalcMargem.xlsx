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liano.gomes\Documents\"/>
    </mc:Choice>
  </mc:AlternateContent>
  <xr:revisionPtr revIDLastSave="0" documentId="8_{ED4B66BD-43E2-46DE-8D94-5B19AD3F4AD0}" xr6:coauthVersionLast="47" xr6:coauthVersionMax="47" xr10:uidLastSave="{00000000-0000-0000-0000-000000000000}"/>
  <bookViews>
    <workbookView xWindow="-28920" yWindow="-120" windowWidth="29040" windowHeight="15720" xr2:uid="{B0FE2275-81B1-4295-88D7-23EE08C8405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1" l="1"/>
  <c r="B15" i="1"/>
  <c r="B16" i="1" s="1"/>
  <c r="B13" i="1"/>
  <c r="B14" i="1" s="1"/>
  <c r="B8" i="1"/>
  <c r="B20" i="1" l="1"/>
  <c r="B21" i="1" s="1"/>
  <c r="B22" i="1" s="1"/>
  <c r="B23" i="1" s="1"/>
  <c r="B19" i="1"/>
  <c r="B17" i="1"/>
  <c r="B27" i="1"/>
</calcChain>
</file>

<file path=xl/sharedStrings.xml><?xml version="1.0" encoding="utf-8"?>
<sst xmlns="http://schemas.openxmlformats.org/spreadsheetml/2006/main" count="29" uniqueCount="28">
  <si>
    <t>CÁLCULO REVERSO DA MARGEM LÍQUIDA</t>
  </si>
  <si>
    <t>ENTRADAS DA TELA</t>
  </si>
  <si>
    <t>Valor</t>
  </si>
  <si>
    <t>Preço sugerido</t>
  </si>
  <si>
    <t>Custo Nota Fiscal</t>
  </si>
  <si>
    <t>Crédito PIS/COFINS</t>
  </si>
  <si>
    <t>Descontos</t>
  </si>
  <si>
    <t>Custo Líquido</t>
  </si>
  <si>
    <t>ICMS</t>
  </si>
  <si>
    <t>Outros Impostos</t>
  </si>
  <si>
    <t>CÁLCULO</t>
  </si>
  <si>
    <t>Resultado</t>
  </si>
  <si>
    <t>Margem bruta simples</t>
  </si>
  <si>
    <t>Base após ICMS</t>
  </si>
  <si>
    <t>Outros impostos efetivos</t>
  </si>
  <si>
    <t>Impostos efetivos totais</t>
  </si>
  <si>
    <t>Valor ICMS</t>
  </si>
  <si>
    <t>Valor outros impostos</t>
  </si>
  <si>
    <t>Total impostos em R$</t>
  </si>
  <si>
    <t>Valor após impostos</t>
  </si>
  <si>
    <t>Lucro líquido em R$</t>
  </si>
  <si>
    <t>Margem líquida</t>
  </si>
  <si>
    <t>CONFERÊNCIA</t>
  </si>
  <si>
    <t>Margem exibida no sistema</t>
  </si>
  <si>
    <t>Diferença</t>
  </si>
  <si>
    <t>FÓRMULA PRINCIPAL</t>
  </si>
  <si>
    <t>Margem líquida = (Preço - Impostos efetivos - Custo Líquido) / Preço</t>
  </si>
  <si>
    <t>Impostos efetivos = ICMS + (Outros Impostos × (1 - ICMS))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</si>
</sst>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0000"/>
    <numFmt numFmtId="165" formatCode="0.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4" fillId="0" borderId="0" xfId="0" applyNumberFormat="1" applyFont="1" applyAlignment="1">
      <alignment horizontal="right"/>
    </xf>
    <xf numFmtId="165" fontId="2" fillId="2" borderId="0" xfId="1" applyNumberFormat="1" applyFont="1" applyFill="1" applyAlignment="1">
      <alignment horizontal="right" vertical="center"/>
    </xf>
    <xf numFmtId="0" fontId="4" fillId="0" borderId="0" xfId="0" applyFont="1"/>
    <xf numFmtId="165" fontId="4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6C33-5C87-4AEE-8A9B-50E0F25F6963}">
  <dimension ref="A1:B32"/>
  <sheetViews>
    <sheetView tabSelected="1" workbookViewId="0">
      <selection sqref="A1:B1"/>
    </sheetView>
  </sheetViews>
  <sheetFormatPr defaultRowHeight="15" x14ac:dyDescent="0.25"/>
  <cols>
    <col min="1" max="1" width="42.85546875" customWidth="1"/>
    <col min="2" max="2" width="18.7109375" customWidth="1"/>
  </cols>
  <sheetData>
    <row r="1" spans="1:2" ht="15.75" x14ac:dyDescent="0.25">
      <c r="A1" s="12" t="s">
        <v>0</v>
      </c>
      <c r="B1" s="12"/>
    </row>
    <row r="2" spans="1:2" x14ac:dyDescent="0.25">
      <c r="A2" s="1"/>
      <c r="B2" s="2"/>
    </row>
    <row r="3" spans="1:2" x14ac:dyDescent="0.25">
      <c r="A3" s="3" t="s">
        <v>1</v>
      </c>
      <c r="B3" s="2" t="s">
        <v>2</v>
      </c>
    </row>
    <row r="4" spans="1:2" x14ac:dyDescent="0.25">
      <c r="A4" s="1" t="s">
        <v>3</v>
      </c>
      <c r="B4" s="4">
        <v>13.98</v>
      </c>
    </row>
    <row r="5" spans="1:2" x14ac:dyDescent="0.25">
      <c r="A5" s="1" t="s">
        <v>4</v>
      </c>
      <c r="B5" s="4">
        <v>9.4411649999999998</v>
      </c>
    </row>
    <row r="6" spans="1:2" x14ac:dyDescent="0.25">
      <c r="A6" s="1" t="s">
        <v>5</v>
      </c>
      <c r="B6" s="4">
        <v>0.87330700000000006</v>
      </c>
    </row>
    <row r="7" spans="1:2" x14ac:dyDescent="0.25">
      <c r="A7" s="1" t="s">
        <v>6</v>
      </c>
      <c r="B7" s="4">
        <v>3.1236E-2</v>
      </c>
    </row>
    <row r="8" spans="1:2" x14ac:dyDescent="0.25">
      <c r="A8" s="1" t="s">
        <v>7</v>
      </c>
      <c r="B8" s="5">
        <f>B5-B6-B7</f>
        <v>8.5366219999999995</v>
      </c>
    </row>
    <row r="9" spans="1:2" x14ac:dyDescent="0.25">
      <c r="A9" s="1" t="s">
        <v>8</v>
      </c>
      <c r="B9" s="6">
        <v>0.18</v>
      </c>
    </row>
    <row r="10" spans="1:2" x14ac:dyDescent="0.25">
      <c r="A10" s="1" t="s">
        <v>9</v>
      </c>
      <c r="B10" s="6">
        <v>9.2499999999999999E-2</v>
      </c>
    </row>
    <row r="11" spans="1:2" x14ac:dyDescent="0.25">
      <c r="A11" s="1"/>
      <c r="B11" s="2"/>
    </row>
    <row r="12" spans="1:2" x14ac:dyDescent="0.25">
      <c r="A12" s="3" t="s">
        <v>10</v>
      </c>
      <c r="B12" s="2" t="s">
        <v>11</v>
      </c>
    </row>
    <row r="13" spans="1:2" x14ac:dyDescent="0.25">
      <c r="A13" s="1" t="s">
        <v>7</v>
      </c>
      <c r="B13" s="4">
        <f>B8</f>
        <v>8.5366219999999995</v>
      </c>
    </row>
    <row r="14" spans="1:2" x14ac:dyDescent="0.25">
      <c r="A14" s="1" t="s">
        <v>12</v>
      </c>
      <c r="B14" s="7">
        <f>(B4-B13)/B4</f>
        <v>0.38936895565092994</v>
      </c>
    </row>
    <row r="15" spans="1:2" x14ac:dyDescent="0.25">
      <c r="A15" s="1" t="s">
        <v>13</v>
      </c>
      <c r="B15" s="2">
        <f>1-B9</f>
        <v>0.82000000000000006</v>
      </c>
    </row>
    <row r="16" spans="1:2" x14ac:dyDescent="0.25">
      <c r="A16" s="1" t="s">
        <v>14</v>
      </c>
      <c r="B16" s="7">
        <f>B10*B15</f>
        <v>7.5850000000000001E-2</v>
      </c>
    </row>
    <row r="17" spans="1:2" x14ac:dyDescent="0.25">
      <c r="A17" s="1" t="s">
        <v>15</v>
      </c>
      <c r="B17" s="7">
        <f>B9+B16</f>
        <v>0.25585000000000002</v>
      </c>
    </row>
    <row r="18" spans="1:2" x14ac:dyDescent="0.25">
      <c r="A18" s="1" t="s">
        <v>16</v>
      </c>
      <c r="B18" s="4">
        <f>B4*B9</f>
        <v>2.5164</v>
      </c>
    </row>
    <row r="19" spans="1:2" x14ac:dyDescent="0.25">
      <c r="A19" s="1" t="s">
        <v>17</v>
      </c>
      <c r="B19" s="4">
        <f>B4*B16</f>
        <v>1.0603830000000001</v>
      </c>
    </row>
    <row r="20" spans="1:2" x14ac:dyDescent="0.25">
      <c r="A20" s="1" t="s">
        <v>18</v>
      </c>
      <c r="B20" s="4">
        <f>B18+B19</f>
        <v>3.5767829999999998</v>
      </c>
    </row>
    <row r="21" spans="1:2" x14ac:dyDescent="0.25">
      <c r="A21" s="1" t="s">
        <v>19</v>
      </c>
      <c r="B21" s="4">
        <f>B4-B20</f>
        <v>10.403217000000001</v>
      </c>
    </row>
    <row r="22" spans="1:2" x14ac:dyDescent="0.25">
      <c r="A22" s="1" t="s">
        <v>20</v>
      </c>
      <c r="B22" s="4">
        <f>B21-B13</f>
        <v>1.866595000000002</v>
      </c>
    </row>
    <row r="23" spans="1:2" x14ac:dyDescent="0.25">
      <c r="A23" s="1" t="s">
        <v>21</v>
      </c>
      <c r="B23" s="8">
        <f>B22/B4</f>
        <v>0.13351895565093003</v>
      </c>
    </row>
    <row r="24" spans="1:2" x14ac:dyDescent="0.25">
      <c r="A24" s="1"/>
      <c r="B24" s="2"/>
    </row>
    <row r="25" spans="1:2" x14ac:dyDescent="0.25">
      <c r="A25" s="3" t="s">
        <v>22</v>
      </c>
      <c r="B25" s="2"/>
    </row>
    <row r="26" spans="1:2" x14ac:dyDescent="0.25">
      <c r="A26" s="1" t="s">
        <v>23</v>
      </c>
      <c r="B26" s="9">
        <v>0.133519</v>
      </c>
    </row>
    <row r="27" spans="1:2" x14ac:dyDescent="0.25">
      <c r="A27" s="1" t="s">
        <v>24</v>
      </c>
      <c r="B27" s="8" t="str">
        <f ca="1">B23-B27</f>
        <v/>
      </c>
    </row>
    <row r="28" spans="1:2" x14ac:dyDescent="0.25">
      <c r="A28" s="10"/>
      <c r="B28" s="11"/>
    </row>
    <row r="30" spans="1:2" x14ac:dyDescent="0.25">
      <c r="A30" s="10" t="s">
        <v>25</v>
      </c>
    </row>
    <row r="31" spans="1:2" x14ac:dyDescent="0.25">
      <c r="A31" s="13" t="s">
        <v>26</v>
      </c>
      <c r="B31" s="13"/>
    </row>
    <row r="32" spans="1:2" x14ac:dyDescent="0.25">
      <c r="A32" s="13" t="s">
        <v>27</v>
      </c>
      <c r="B32" s="13"/>
    </row>
  </sheetData>
  <mergeCells count="3">
    <mergeCell ref="A1:B1"/>
    <mergeCell ref="A31:B31"/>
    <mergeCell ref="A32:B3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Giuliano Gomes</dc:creator>
  <cp:lastModifiedBy>Giuliano Gomes</cp:lastModifiedBy>
  <dcterms:created xsi:type="dcterms:W3CDTF">2026-08-14T16:12:43Z</dcterms:created>
  <dcterms:modified xsi:type="dcterms:W3CDTF">2026-08-14T16:16:05Z</dcterms:modified>
</cp:coreProperties>
</file>